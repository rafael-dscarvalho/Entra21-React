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rafael.carvalho2\Documents\"/>
    </mc:Choice>
  </mc:AlternateContent>
  <bookViews>
    <workbookView xWindow="0" yWindow="0" windowWidth="28800" windowHeight="12300" activeTab="2"/>
  </bookViews>
  <sheets>
    <sheet name="Gráf1" sheetId="2" r:id="rId1"/>
    <sheet name="CLIENTES" sheetId="1" r:id="rId2"/>
    <sheet name="PRODUTOS" sheetId="3" r:id="rId3"/>
    <sheet name="VENDAS" sheetId="4" r:id="rId4"/>
  </sheets>
  <definedNames>
    <definedName name="TAB_CLIENTE">CLIENTES!$A$1:$F$6</definedName>
    <definedName name="TAB_CLIENTES">CLIENTES!$A$1:$F$6</definedName>
    <definedName name="TAB_PRODUTO">PRODUTOS!$A$1:$E$7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2" i="3"/>
  <c r="H2" i="4" l="1"/>
  <c r="I2" i="4" s="1"/>
  <c r="F2" i="4"/>
  <c r="D2" i="4"/>
  <c r="B2" i="4" l="1"/>
</calcChain>
</file>

<file path=xl/sharedStrings.xml><?xml version="1.0" encoding="utf-8"?>
<sst xmlns="http://schemas.openxmlformats.org/spreadsheetml/2006/main" count="58" uniqueCount="54">
  <si>
    <t>ID_CLIENTE</t>
  </si>
  <si>
    <t>NOME</t>
  </si>
  <si>
    <t>TELEFONE</t>
  </si>
  <si>
    <t>ENDEREÇO</t>
  </si>
  <si>
    <t>E-MAIL</t>
  </si>
  <si>
    <t>FOTO</t>
  </si>
  <si>
    <t>r</t>
  </si>
  <si>
    <t>ID_PRODUTO</t>
  </si>
  <si>
    <t>DESCRIÇÃO</t>
  </si>
  <si>
    <t>QUANTIDADE</t>
  </si>
  <si>
    <t>PREÇO UNITÁRIO</t>
  </si>
  <si>
    <t>PRODUTO1</t>
  </si>
  <si>
    <t>PRODUTO2</t>
  </si>
  <si>
    <t>PRODUTO3</t>
  </si>
  <si>
    <t>PRODUTO4</t>
  </si>
  <si>
    <t>PRODUTO5</t>
  </si>
  <si>
    <t>PRODUTO6</t>
  </si>
  <si>
    <t>MARIA</t>
  </si>
  <si>
    <t>JOÃO</t>
  </si>
  <si>
    <t>PAULO</t>
  </si>
  <si>
    <t>JOSE</t>
  </si>
  <si>
    <t>DUDA</t>
  </si>
  <si>
    <t>RUA 1</t>
  </si>
  <si>
    <t>RUA 2</t>
  </si>
  <si>
    <t>RUA 3</t>
  </si>
  <si>
    <t>RUA 4</t>
  </si>
  <si>
    <t>RUA 5</t>
  </si>
  <si>
    <t>RUA 6</t>
  </si>
  <si>
    <t>email1@gmail.com</t>
  </si>
  <si>
    <t>email2@gmail.com</t>
  </si>
  <si>
    <t>email3@gmail.com</t>
  </si>
  <si>
    <t>email4@gmail.com</t>
  </si>
  <si>
    <t>email5@gmail.com</t>
  </si>
  <si>
    <t>email6@gmail.com</t>
  </si>
  <si>
    <t>5555 5555</t>
  </si>
  <si>
    <t>6666 6666</t>
  </si>
  <si>
    <t>7777 7777</t>
  </si>
  <si>
    <t>8888 8888</t>
  </si>
  <si>
    <t>9999 9999</t>
  </si>
  <si>
    <t>1111 1111</t>
  </si>
  <si>
    <t>ID_VENDA</t>
  </si>
  <si>
    <t>DATA</t>
  </si>
  <si>
    <t>VALOR TOTAL</t>
  </si>
  <si>
    <t>NOME CLIENTE</t>
  </si>
  <si>
    <t>PREÇO UNITARIO</t>
  </si>
  <si>
    <t xml:space="preserve">FABIO </t>
  </si>
  <si>
    <t>VALOR</t>
  </si>
  <si>
    <t>FORNECEDOR</t>
  </si>
  <si>
    <t>FORNECEDOR1</t>
  </si>
  <si>
    <t>FORNECEDOR2</t>
  </si>
  <si>
    <t>FORNECEDOR3</t>
  </si>
  <si>
    <t>FORNECEDOR4</t>
  </si>
  <si>
    <t>FORNECEDOR5</t>
  </si>
  <si>
    <t>FORNECEDOR6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</si>
</sst>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44" fontId="0" fillId="0" borderId="0" xfId="0" applyNumberFormat="1"/>
    <xf numFmtId="0" fontId="1" fillId="2" borderId="0" xfId="1"/>
    <xf numFmtId="0" fontId="0" fillId="0" borderId="1" xfId="0" applyBorder="1"/>
    <xf numFmtId="0" fontId="2" fillId="0" borderId="1" xfId="2" applyBorder="1"/>
    <xf numFmtId="44" fontId="0" fillId="0" borderId="1" xfId="0" applyNumberFormat="1" applyBorder="1"/>
    <xf numFmtId="14" fontId="0" fillId="0" borderId="0" xfId="0" applyNumberFormat="1"/>
    <xf numFmtId="0" fontId="1" fillId="0" borderId="0" xfId="1" applyFill="1"/>
    <xf numFmtId="0" fontId="0" fillId="0" borderId="0" xfId="0" applyFill="1"/>
    <xf numFmtId="14" fontId="0" fillId="0" borderId="0" xfId="0" applyNumberFormat="1" applyFill="1"/>
    <xf numFmtId="44" fontId="0" fillId="0" borderId="0" xfId="0" applyNumberFormat="1" applyFill="1"/>
    <xf numFmtId="0" fontId="0" fillId="0" borderId="2" xfId="0" applyFill="1" applyBorder="1"/>
  </cellXfs>
  <cellStyles count="3">
    <cellStyle name="Bom" xfId="1" builtinId="26"/>
    <cellStyle name="Hiperlink" xfId="2" builtinId="8"/>
    <cellStyle name="Normal" xfId="0" builtinId="0"/>
  </cellStyles>
  <dxfs count="3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0247232"/>
        <c:axId val="1950247648"/>
      </c:barChart>
      <c:catAx>
        <c:axId val="1950247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50247648"/>
        <c:crosses val="autoZero"/>
        <c:auto val="1"/>
        <c:lblAlgn val="ctr"/>
        <c:lblOffset val="100"/>
        <c:noMultiLvlLbl val="0"/>
      </c:catAx>
      <c:valAx>
        <c:axId val="195024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5024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79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5570" cy="600436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1" name="Tabela1" displayName="Tabela1" ref="A1:I2" totalsRowShown="0">
  <tableColumns count="9">
    <tableColumn id="1" name="ID_VENDA"/>
    <tableColumn id="2" name="DATA" dataDxfId="2">
      <calculatedColumnFormula>TODAY()</calculatedColumnFormula>
    </tableColumn>
    <tableColumn id="3" name="ID_CLIENTE" dataCellStyle="Bom"/>
    <tableColumn id="4" name="NOME CLIENTE">
      <calculatedColumnFormula>IFERROR(VLOOKUP(C2,TAB_CLIENTES,2,0),"")</calculatedColumnFormula>
    </tableColumn>
    <tableColumn id="5" name="ID_PRODUTO" dataCellStyle="Bom"/>
    <tableColumn id="6" name="DESCRIÇÃO">
      <calculatedColumnFormula>IFERROR(VLOOKUP(E2,TAB_PRODUTO,2,0),"")</calculatedColumnFormula>
    </tableColumn>
    <tableColumn id="7" name="QUANTIDADE" dataCellStyle="Bom"/>
    <tableColumn id="8" name="PREÇO UNITARIO" dataDxfId="1">
      <calculatedColumnFormula>IFERROR(VLOOKUP(E2,TAB_PRODUTO,4,0),0)</calculatedColumnFormula>
    </tableColumn>
    <tableColumn id="9" name="VALOR TOTAL" dataDxfId="0">
      <calculatedColumnFormula>IFERROR(G2*H2,0)</calculatedColumn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email4@gmail.com" TargetMode="External"/><Relationship Id="rId2" Type="http://schemas.openxmlformats.org/officeDocument/2006/relationships/hyperlink" Target="mailto:email3@gmail.com" TargetMode="External"/><Relationship Id="rId1" Type="http://schemas.openxmlformats.org/officeDocument/2006/relationships/hyperlink" Target="mailto:email1@gmail.com" TargetMode="External"/><Relationship Id="rId5" Type="http://schemas.openxmlformats.org/officeDocument/2006/relationships/hyperlink" Target="mailto:email6@gmail.com" TargetMode="External"/><Relationship Id="rId4" Type="http://schemas.openxmlformats.org/officeDocument/2006/relationships/hyperlink" Target="mailto:email5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F25"/>
  <sheetViews>
    <sheetView workbookViewId="0">
      <selection activeCell="D9" sqref="D9"/>
    </sheetView>
  </sheetViews>
  <sheetFormatPr defaultRowHeight="15" x14ac:dyDescent="0.25"/>
  <cols>
    <col min="1" max="1" width="11" customWidth="1"/>
    <col min="2" max="2" width="6.5703125" bestFit="1" customWidth="1"/>
    <col min="3" max="3" width="10.42578125" bestFit="1" customWidth="1"/>
    <col min="4" max="4" width="18.28515625" bestFit="1" customWidth="1"/>
    <col min="5" max="5" width="11" bestFit="1" customWidth="1"/>
    <col min="6" max="6" width="5.85546875" bestFit="1" customWidth="1"/>
  </cols>
  <sheetData>
    <row r="1" spans="1:6" x14ac:dyDescent="0.25">
      <c r="A1" s="3" t="s">
        <v>0</v>
      </c>
      <c r="B1" s="3" t="s">
        <v>1</v>
      </c>
      <c r="C1" s="3" t="s">
        <v>3</v>
      </c>
      <c r="D1" s="3" t="s">
        <v>4</v>
      </c>
      <c r="E1" s="3" t="s">
        <v>2</v>
      </c>
      <c r="F1" s="3" t="s">
        <v>5</v>
      </c>
    </row>
    <row r="2" spans="1:6" x14ac:dyDescent="0.25">
      <c r="A2" s="3">
        <v>1000</v>
      </c>
      <c r="B2" s="3" t="s">
        <v>17</v>
      </c>
      <c r="C2" s="3" t="s">
        <v>22</v>
      </c>
      <c r="D2" s="4" t="s">
        <v>28</v>
      </c>
      <c r="E2" s="3" t="s">
        <v>34</v>
      </c>
      <c r="F2" s="3"/>
    </row>
    <row r="3" spans="1:6" x14ac:dyDescent="0.25">
      <c r="A3" s="3">
        <v>1002</v>
      </c>
      <c r="B3" s="3" t="s">
        <v>18</v>
      </c>
      <c r="C3" s="3" t="s">
        <v>24</v>
      </c>
      <c r="D3" s="4" t="s">
        <v>30</v>
      </c>
      <c r="E3" s="3" t="s">
        <v>36</v>
      </c>
      <c r="F3" s="3"/>
    </row>
    <row r="4" spans="1:6" x14ac:dyDescent="0.25">
      <c r="A4" s="3">
        <v>1003</v>
      </c>
      <c r="B4" s="3" t="s">
        <v>19</v>
      </c>
      <c r="C4" s="3" t="s">
        <v>25</v>
      </c>
      <c r="D4" s="4" t="s">
        <v>31</v>
      </c>
      <c r="E4" s="3" t="s">
        <v>37</v>
      </c>
      <c r="F4" s="3"/>
    </row>
    <row r="5" spans="1:6" x14ac:dyDescent="0.25">
      <c r="A5" s="3">
        <v>1004</v>
      </c>
      <c r="B5" s="3" t="s">
        <v>20</v>
      </c>
      <c r="C5" s="3" t="s">
        <v>26</v>
      </c>
      <c r="D5" s="4" t="s">
        <v>32</v>
      </c>
      <c r="E5" s="3" t="s">
        <v>38</v>
      </c>
      <c r="F5" s="3"/>
    </row>
    <row r="6" spans="1:6" x14ac:dyDescent="0.25">
      <c r="A6" s="3">
        <v>1005</v>
      </c>
      <c r="B6" s="3" t="s">
        <v>21</v>
      </c>
      <c r="C6" s="3" t="s">
        <v>27</v>
      </c>
      <c r="D6" s="4" t="s">
        <v>33</v>
      </c>
      <c r="E6" s="3" t="s">
        <v>39</v>
      </c>
      <c r="F6" s="3"/>
    </row>
    <row r="7" spans="1:6" x14ac:dyDescent="0.25">
      <c r="A7" s="3">
        <v>1006</v>
      </c>
      <c r="B7" s="3" t="s">
        <v>45</v>
      </c>
      <c r="C7" s="3" t="s">
        <v>23</v>
      </c>
      <c r="D7" s="3" t="s">
        <v>29</v>
      </c>
      <c r="E7" s="3" t="s">
        <v>35</v>
      </c>
      <c r="F7" s="3"/>
    </row>
    <row r="8" spans="1:6" x14ac:dyDescent="0.25">
      <c r="A8" s="3"/>
      <c r="B8" s="3"/>
      <c r="C8" s="3"/>
      <c r="D8" s="3"/>
      <c r="E8" s="3"/>
      <c r="F8" s="3"/>
    </row>
    <row r="25" spans="4:4" x14ac:dyDescent="0.25">
      <c r="D25" t="s">
        <v>6</v>
      </c>
    </row>
  </sheetData>
  <hyperlinks>
    <hyperlink ref="D2" r:id="rId1"/>
    <hyperlink ref="D3" r:id="rId2"/>
    <hyperlink ref="D4" r:id="rId3"/>
    <hyperlink ref="D5" r:id="rId4"/>
    <hyperlink ref="D6" r:id="rId5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F7"/>
  <sheetViews>
    <sheetView tabSelected="1" workbookViewId="0">
      <selection activeCell="A8" sqref="A8"/>
    </sheetView>
  </sheetViews>
  <sheetFormatPr defaultRowHeight="15" x14ac:dyDescent="0.25"/>
  <cols>
    <col min="1" max="1" width="12.5703125" bestFit="1" customWidth="1"/>
    <col min="2" max="2" width="11" bestFit="1" customWidth="1"/>
    <col min="3" max="3" width="12.85546875" bestFit="1" customWidth="1"/>
    <col min="4" max="4" width="16.140625" bestFit="1" customWidth="1"/>
    <col min="5" max="5" width="14.140625" bestFit="1" customWidth="1"/>
    <col min="6" max="6" width="10.5703125" bestFit="1" customWidth="1"/>
  </cols>
  <sheetData>
    <row r="1" spans="1:6" x14ac:dyDescent="0.25">
      <c r="A1" s="3" t="s">
        <v>7</v>
      </c>
      <c r="B1" s="3" t="s">
        <v>8</v>
      </c>
      <c r="C1" s="3" t="s">
        <v>9</v>
      </c>
      <c r="D1" s="3" t="s">
        <v>10</v>
      </c>
      <c r="E1" s="3" t="s">
        <v>47</v>
      </c>
      <c r="F1" s="11" t="s">
        <v>46</v>
      </c>
    </row>
    <row r="2" spans="1:6" x14ac:dyDescent="0.25">
      <c r="A2" s="3">
        <v>1010</v>
      </c>
      <c r="B2" s="3" t="s">
        <v>11</v>
      </c>
      <c r="C2" s="3">
        <v>50</v>
      </c>
      <c r="D2" s="5">
        <v>2</v>
      </c>
      <c r="E2" s="3" t="s">
        <v>48</v>
      </c>
      <c r="F2" s="1">
        <f>C2*D2</f>
        <v>100</v>
      </c>
    </row>
    <row r="3" spans="1:6" x14ac:dyDescent="0.25">
      <c r="A3" s="3">
        <v>1011</v>
      </c>
      <c r="B3" s="3" t="s">
        <v>12</v>
      </c>
      <c r="C3" s="3">
        <v>50</v>
      </c>
      <c r="D3" s="5">
        <v>4</v>
      </c>
      <c r="E3" s="3" t="s">
        <v>49</v>
      </c>
      <c r="F3" s="1">
        <f t="shared" ref="F3:F7" si="0">C3*D3</f>
        <v>200</v>
      </c>
    </row>
    <row r="4" spans="1:6" x14ac:dyDescent="0.25">
      <c r="A4" s="3">
        <v>1012</v>
      </c>
      <c r="B4" s="3" t="s">
        <v>13</v>
      </c>
      <c r="C4" s="3">
        <v>50</v>
      </c>
      <c r="D4" s="5">
        <v>6</v>
      </c>
      <c r="E4" s="3" t="s">
        <v>50</v>
      </c>
      <c r="F4" s="1">
        <f t="shared" si="0"/>
        <v>300</v>
      </c>
    </row>
    <row r="5" spans="1:6" x14ac:dyDescent="0.25">
      <c r="A5" s="3">
        <v>1013</v>
      </c>
      <c r="B5" s="3" t="s">
        <v>14</v>
      </c>
      <c r="C5" s="3">
        <v>50</v>
      </c>
      <c r="D5" s="5">
        <v>8</v>
      </c>
      <c r="E5" s="3" t="s">
        <v>51</v>
      </c>
      <c r="F5" s="1">
        <f t="shared" si="0"/>
        <v>400</v>
      </c>
    </row>
    <row r="6" spans="1:6" x14ac:dyDescent="0.25">
      <c r="A6" s="3">
        <v>1014</v>
      </c>
      <c r="B6" s="3" t="s">
        <v>15</v>
      </c>
      <c r="C6" s="3">
        <v>50</v>
      </c>
      <c r="D6" s="5">
        <v>10</v>
      </c>
      <c r="E6" s="3" t="s">
        <v>52</v>
      </c>
      <c r="F6" s="1">
        <f t="shared" si="0"/>
        <v>500</v>
      </c>
    </row>
    <row r="7" spans="1:6" x14ac:dyDescent="0.25">
      <c r="A7" s="3">
        <v>1015</v>
      </c>
      <c r="B7" s="3" t="s">
        <v>16</v>
      </c>
      <c r="C7" s="3">
        <v>50</v>
      </c>
      <c r="D7" s="5">
        <v>12</v>
      </c>
      <c r="E7" s="3" t="s">
        <v>53</v>
      </c>
      <c r="F7" s="1">
        <f t="shared" si="0"/>
        <v>600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I11"/>
  <sheetViews>
    <sheetView workbookViewId="0">
      <selection activeCell="A2" sqref="A2"/>
    </sheetView>
  </sheetViews>
  <sheetFormatPr defaultRowHeight="15" x14ac:dyDescent="0.25"/>
  <cols>
    <col min="1" max="1" width="12.28515625" customWidth="1"/>
    <col min="2" max="2" width="10.7109375" bestFit="1" customWidth="1"/>
    <col min="3" max="3" width="13" customWidth="1"/>
    <col min="4" max="4" width="16.140625" customWidth="1"/>
    <col min="5" max="5" width="14.7109375" customWidth="1"/>
    <col min="6" max="6" width="13.140625" customWidth="1"/>
    <col min="7" max="7" width="15" customWidth="1"/>
    <col min="8" max="8" width="18.140625" customWidth="1"/>
    <col min="9" max="9" width="15.140625" customWidth="1"/>
  </cols>
  <sheetData>
    <row r="1" spans="1:9" ht="17.25" customHeight="1" x14ac:dyDescent="0.25">
      <c r="A1" t="s">
        <v>40</v>
      </c>
      <c r="B1" t="s">
        <v>41</v>
      </c>
      <c r="C1" t="s">
        <v>0</v>
      </c>
      <c r="D1" t="s">
        <v>43</v>
      </c>
      <c r="E1" t="s">
        <v>7</v>
      </c>
      <c r="F1" t="s">
        <v>8</v>
      </c>
      <c r="G1" t="s">
        <v>9</v>
      </c>
      <c r="H1" t="s">
        <v>44</v>
      </c>
      <c r="I1" t="s">
        <v>42</v>
      </c>
    </row>
    <row r="2" spans="1:9" x14ac:dyDescent="0.25">
      <c r="A2">
        <v>1000</v>
      </c>
      <c r="B2" s="6">
        <f ca="1">TODAY()</f>
        <v>44790</v>
      </c>
      <c r="C2" s="2">
        <v>1000</v>
      </c>
      <c r="D2" t="str">
        <f>IFERROR(VLOOKUP(C2,TAB_CLIENTES,2,0),"")</f>
        <v>MARIA</v>
      </c>
      <c r="E2" s="2">
        <v>1010</v>
      </c>
      <c r="F2" t="str">
        <f>IFERROR(VLOOKUP(E2,TAB_PRODUTO,2,0),"")</f>
        <v>PRODUTO1</v>
      </c>
      <c r="G2" s="2">
        <v>50</v>
      </c>
      <c r="H2" s="1">
        <f>IFERROR(VLOOKUP(E2,TAB_PRODUTO,4,0),0)</f>
        <v>2</v>
      </c>
      <c r="I2" s="1">
        <f>IFERROR(G2*H2,0)</f>
        <v>100</v>
      </c>
    </row>
    <row r="3" spans="1:9" x14ac:dyDescent="0.25">
      <c r="A3" s="8"/>
      <c r="B3" s="9"/>
      <c r="C3" s="7"/>
      <c r="D3" s="8"/>
      <c r="E3" s="7"/>
      <c r="F3" s="8"/>
      <c r="G3" s="7"/>
      <c r="H3" s="10"/>
      <c r="I3" s="10"/>
    </row>
    <row r="4" spans="1:9" x14ac:dyDescent="0.25">
      <c r="A4" s="8"/>
      <c r="B4" s="9"/>
      <c r="C4" s="7"/>
      <c r="D4" s="8"/>
      <c r="E4" s="7"/>
      <c r="F4" s="8"/>
      <c r="G4" s="7"/>
      <c r="H4" s="10"/>
      <c r="I4" s="10"/>
    </row>
    <row r="5" spans="1:9" x14ac:dyDescent="0.25">
      <c r="B5" s="9"/>
      <c r="C5" s="7"/>
      <c r="D5" s="8"/>
      <c r="E5" s="7"/>
      <c r="F5" s="8"/>
      <c r="G5" s="7"/>
      <c r="H5" s="10"/>
      <c r="I5" s="1"/>
    </row>
    <row r="6" spans="1:9" x14ac:dyDescent="0.25">
      <c r="B6" s="9"/>
      <c r="C6" s="7"/>
      <c r="D6" s="8"/>
      <c r="E6" s="7"/>
      <c r="F6" s="8"/>
      <c r="G6" s="7"/>
      <c r="H6" s="10"/>
      <c r="I6" s="1"/>
    </row>
    <row r="7" spans="1:9" x14ac:dyDescent="0.25">
      <c r="B7" s="9"/>
      <c r="C7" s="7"/>
      <c r="D7" s="8"/>
      <c r="E7" s="7"/>
      <c r="F7" s="8"/>
      <c r="G7" s="7"/>
      <c r="H7" s="10"/>
      <c r="I7" s="1"/>
    </row>
    <row r="8" spans="1:9" x14ac:dyDescent="0.25">
      <c r="B8" s="9"/>
      <c r="C8" s="7"/>
      <c r="D8" s="8"/>
      <c r="E8" s="7"/>
      <c r="F8" s="8"/>
      <c r="G8" s="7"/>
      <c r="H8" s="10"/>
      <c r="I8" s="1"/>
    </row>
    <row r="9" spans="1:9" x14ac:dyDescent="0.25">
      <c r="B9" s="9"/>
      <c r="C9" s="7"/>
      <c r="D9" s="8"/>
      <c r="E9" s="7"/>
      <c r="F9" s="8"/>
      <c r="G9" s="7"/>
      <c r="H9" s="10"/>
      <c r="I9" s="1"/>
    </row>
    <row r="10" spans="1:9" x14ac:dyDescent="0.25">
      <c r="B10" s="9"/>
      <c r="C10" s="7"/>
      <c r="D10" s="8"/>
      <c r="E10" s="7"/>
      <c r="F10" s="8"/>
      <c r="G10" s="7"/>
      <c r="H10" s="10"/>
      <c r="I10" s="1"/>
    </row>
    <row r="11" spans="1:9" x14ac:dyDescent="0.25">
      <c r="B11" s="9"/>
      <c r="C11" s="7"/>
      <c r="D11" s="8"/>
      <c r="E11" s="7"/>
      <c r="F11" s="8"/>
      <c r="G11" s="7"/>
      <c r="H11" s="10"/>
      <c r="I11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3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3</vt:i4>
      </vt:variant>
    </vt:vector>
  </HeadingPairs>
  <TitlesOfParts>
    <vt:vector size="7" baseType="lpstr">
      <vt:lpstr>CLIENTES</vt:lpstr>
      <vt:lpstr>PRODUTOS</vt:lpstr>
      <vt:lpstr>VENDAS</vt:lpstr>
      <vt:lpstr>Gráf1</vt:lpstr>
      <vt:lpstr>TAB_CLIENTE</vt:lpstr>
      <vt:lpstr>TAB_CLIENTES</vt:lpstr>
      <vt:lpstr>TAB_PRODUTO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DOS SANTOS CARVALHO</dc:creator>
  <cp:lastModifiedBy>RAFAEL DOS SANTOS CARVALHO</cp:lastModifiedBy>
  <dcterms:created xsi:type="dcterms:W3CDTF">2022-08-02T17:02:39Z</dcterms:created>
  <dcterms:modified xsi:type="dcterms:W3CDTF">2022-08-17T19:51:32Z</dcterms:modified>
</cp:coreProperties>
</file>